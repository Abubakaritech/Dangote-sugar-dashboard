
<file path=[Content_Types].xml><?xml version="1.0" encoding="utf-8"?>
<Types xmlns="http://schemas.openxmlformats.org/package/2006/content-types">
  <Default Extension="png" ContentType="image/png"/>
  <Override PartName="/xl/charts/chart6.xml" ContentType="application/vnd.openxmlformats-officedocument.drawingml.chart+xml"/>
  <Default Extension="svg" ContentType="image/svg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Default Extension="jpeg" ContentType="image/jpeg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Dashboard" sheetId="1" r:id="rId1"/>
    <sheet name="Inputs" sheetId="2" r:id="rId2"/>
    <sheet name="Contacts" sheetId="3" r:id="rId3"/>
  </sheets>
  <calcPr calcId="125725"/>
</workbook>
</file>

<file path=xl/calcChain.xml><?xml version="1.0" encoding="utf-8"?>
<calcChain xmlns="http://schemas.openxmlformats.org/spreadsheetml/2006/main">
  <c r="G7" i="2"/>
</calcChain>
</file>

<file path=xl/sharedStrings.xml><?xml version="1.0" encoding="utf-8"?>
<sst xmlns="http://schemas.openxmlformats.org/spreadsheetml/2006/main" count="71" uniqueCount="64">
  <si>
    <t>KPIs</t>
  </si>
  <si>
    <t>Amount</t>
  </si>
  <si>
    <t>Actual</t>
  </si>
  <si>
    <t>% Complete</t>
  </si>
  <si>
    <t>Target</t>
  </si>
  <si>
    <t>Profit</t>
  </si>
  <si>
    <t xml:space="preserve">% Complete </t>
  </si>
  <si>
    <t>Sales</t>
  </si>
  <si>
    <t>254.4B</t>
  </si>
  <si>
    <t>300B</t>
  </si>
  <si>
    <t>AMOUNT (#B)</t>
  </si>
  <si>
    <t>42.8B</t>
  </si>
  <si>
    <t>48B</t>
  </si>
  <si>
    <t>Distributor</t>
  </si>
  <si>
    <t>Trget</t>
  </si>
  <si>
    <t>Remainder</t>
  </si>
  <si>
    <t>Remainder15%</t>
  </si>
  <si>
    <t>Figures in #B</t>
  </si>
  <si>
    <t>Jan</t>
  </si>
  <si>
    <t>Feb</t>
  </si>
  <si>
    <t>Apr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</si>
  <si>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</si>
  <si>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</si>
  <si>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</si>
  <si>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</si>
  <si>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</si>
  <si>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</si>
  <si>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</si>
  <si>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</si>
  <si>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</si>
  <si>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Sales by Region</t>
  </si>
  <si>
    <t>Figure in #B</t>
  </si>
  <si>
    <t>North West</t>
  </si>
  <si>
    <t>North East</t>
  </si>
  <si>
    <t>North Central</t>
  </si>
  <si>
    <t>South West</t>
  </si>
  <si>
    <t>South East</t>
  </si>
  <si>
    <t>South South</t>
  </si>
  <si>
    <t>Customer Certisfaction</t>
  </si>
  <si>
    <t>Metric</t>
  </si>
  <si>
    <t>Score</t>
  </si>
  <si>
    <t>Delivery Speed</t>
  </si>
  <si>
    <t>Product Quality</t>
  </si>
  <si>
    <t>Packaging/Hygien</t>
  </si>
  <si>
    <t>Customer Service</t>
  </si>
  <si>
    <t>Product Availability</t>
  </si>
  <si>
    <t>Counrty</t>
  </si>
  <si>
    <t>General Manager</t>
  </si>
  <si>
    <t>Email</t>
  </si>
  <si>
    <t>Nigeria</t>
  </si>
  <si>
    <t>Ghana</t>
  </si>
  <si>
    <t>Togo</t>
  </si>
  <si>
    <t>Benin Republic</t>
  </si>
  <si>
    <t>Cmeroon</t>
  </si>
  <si>
    <t>Engr. Rvindra Singhvi</t>
  </si>
  <si>
    <t>Mr. Kofi Mensah</t>
  </si>
  <si>
    <t>Mrs. Awa Johnson</t>
  </si>
  <si>
    <t>Mr. Adeyemi Bello</t>
  </si>
  <si>
    <t>Mr. Paul Ndi</t>
  </si>
  <si>
    <t>r.sinhvi@dangotesugar.com</t>
  </si>
  <si>
    <t>k.mensah@dangotesugar.tg</t>
  </si>
  <si>
    <t>a.johnson@dangotesugar.tg</t>
  </si>
  <si>
    <t>a.bello@dangotesugar.bj</t>
  </si>
  <si>
    <t>p.ndi@dangotesugar.cm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</si>
</sst>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2" borderId="0" xfId="0" applyFill="1"/>
    <xf numFmtId="0" fontId="0" fillId="0" borderId="1" xfId="0" applyBorder="1"/>
    <xf numFmtId="3" fontId="0" fillId="0" borderId="0" xfId="0" applyNumberFormat="1"/>
    <xf numFmtId="9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/>
    <xf numFmtId="0" fontId="0" fillId="4" borderId="0" xfId="0" applyFill="1"/>
    <xf numFmtId="0" fontId="0" fillId="0" borderId="0" xfId="0" applyBorder="1"/>
    <xf numFmtId="0" fontId="4" fillId="0" borderId="0" xfId="1" applyAlignment="1" applyProtection="1"/>
    <xf numFmtId="0" fontId="1" fillId="3" borderId="1" xfId="0" applyFont="1" applyFill="1" applyBorder="1"/>
    <xf numFmtId="0" fontId="3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style val="34"/>
  <c:chart>
    <c:plotArea>
      <c:layout>
        <c:manualLayout>
          <c:layoutTarget val="inner"/>
          <c:xMode val="edge"/>
          <c:yMode val="edge"/>
          <c:x val="0.11649761900567798"/>
          <c:y val="0.2113256895519639"/>
          <c:w val="0.59010680711890884"/>
          <c:h val="0.41006523307393594"/>
        </c:manualLayout>
      </c:layout>
      <c:lineChart>
        <c:grouping val="standard"/>
        <c:ser>
          <c:idx val="0"/>
          <c:order val="0"/>
          <c:marker>
            <c:symbol val="none"/>
          </c:marker>
          <c:cat>
            <c:strRef>
              <c:f>Inputs!$C$13:$C$25</c:f>
              <c:strCache>
                <c:ptCount val="13"/>
                <c:pt idx="0">
                  <c:v>Figures in #B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Inputs!$D$13:$D$25</c:f>
              <c:numCache>
                <c:formatCode>General</c:formatCode>
                <c:ptCount val="13"/>
                <c:pt idx="0">
                  <c:v>2024</c:v>
                </c:pt>
                <c:pt idx="1">
                  <c:v>18.2</c:v>
                </c:pt>
                <c:pt idx="2">
                  <c:v>19.399999999999999</c:v>
                </c:pt>
                <c:pt idx="3">
                  <c:v>17.8</c:v>
                </c:pt>
                <c:pt idx="4">
                  <c:v>19.899999999999999</c:v>
                </c:pt>
                <c:pt idx="5">
                  <c:v>20.6</c:v>
                </c:pt>
                <c:pt idx="6">
                  <c:v>19.5</c:v>
                </c:pt>
                <c:pt idx="7">
                  <c:v>19.2</c:v>
                </c:pt>
                <c:pt idx="8">
                  <c:v>18.600000000000001</c:v>
                </c:pt>
                <c:pt idx="9">
                  <c:v>19.399999999999999</c:v>
                </c:pt>
                <c:pt idx="10">
                  <c:v>19.899999999999999</c:v>
                </c:pt>
                <c:pt idx="11">
                  <c:v>20.5</c:v>
                </c:pt>
                <c:pt idx="12">
                  <c:v>20.399999999999999</c:v>
                </c:pt>
              </c:numCache>
            </c:numRef>
          </c:val>
        </c:ser>
        <c:marker val="1"/>
        <c:axId val="90123264"/>
        <c:axId val="115234688"/>
      </c:lineChart>
      <c:lineChart>
        <c:grouping val="standard"/>
        <c:ser>
          <c:idx val="1"/>
          <c:order val="1"/>
          <c:marker>
            <c:symbol val="none"/>
          </c:marker>
          <c:dPt>
            <c:idx val="1"/>
            <c:marker>
              <c:symbol val="circle"/>
              <c:size val="5"/>
              <c:spPr>
                <a:effectLst>
                  <a:outerShdw blurRad="50800" dist="50800" dir="5400000" algn="ctr" rotWithShape="0">
                    <a:schemeClr val="bg1"/>
                  </a:outerShdw>
                </a:effectLst>
              </c:spPr>
            </c:marker>
            <c:spPr>
              <a:ln cap="rnd"/>
              <a:effectLst>
                <a:outerShdw blurRad="50800" dist="50800" dir="5400000" algn="ctr" rotWithShape="0">
                  <a:schemeClr val="bg1"/>
                </a:outerShdw>
              </a:effectLst>
            </c:spPr>
          </c:dPt>
          <c:cat>
            <c:strRef>
              <c:f>Inputs!$C$13:$C$25</c:f>
              <c:strCache>
                <c:ptCount val="13"/>
                <c:pt idx="0">
                  <c:v>Figures in #B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Inputs!$E$13:$E$25</c:f>
              <c:numCache>
                <c:formatCode>General</c:formatCode>
                <c:ptCount val="13"/>
                <c:pt idx="0">
                  <c:v>2025</c:v>
                </c:pt>
                <c:pt idx="1">
                  <c:v>21.5</c:v>
                </c:pt>
                <c:pt idx="2">
                  <c:v>21.7</c:v>
                </c:pt>
                <c:pt idx="3">
                  <c:v>20.100000000000001</c:v>
                </c:pt>
                <c:pt idx="4">
                  <c:v>20.6</c:v>
                </c:pt>
                <c:pt idx="5">
                  <c:v>20.3</c:v>
                </c:pt>
                <c:pt idx="6">
                  <c:v>20.3</c:v>
                </c:pt>
                <c:pt idx="7">
                  <c:v>20.100000000000001</c:v>
                </c:pt>
                <c:pt idx="8">
                  <c:v>20</c:v>
                </c:pt>
                <c:pt idx="9">
                  <c:v>21</c:v>
                </c:pt>
                <c:pt idx="10">
                  <c:v>21.6</c:v>
                </c:pt>
                <c:pt idx="11">
                  <c:v>22.2</c:v>
                </c:pt>
                <c:pt idx="12">
                  <c:v>22.5</c:v>
                </c:pt>
              </c:numCache>
            </c:numRef>
          </c:val>
        </c:ser>
        <c:marker val="1"/>
        <c:axId val="90346624"/>
        <c:axId val="90126976"/>
      </c:lineChart>
      <c:catAx>
        <c:axId val="90123264"/>
        <c:scaling>
          <c:orientation val="minMax"/>
        </c:scaling>
        <c:axPos val="b"/>
        <c:tickLblPos val="nextTo"/>
        <c:crossAx val="115234688"/>
        <c:crosses val="autoZero"/>
        <c:auto val="1"/>
        <c:lblAlgn val="ctr"/>
        <c:lblOffset val="100"/>
      </c:catAx>
      <c:valAx>
        <c:axId val="115234688"/>
        <c:scaling>
          <c:orientation val="minMax"/>
          <c:min val="1800"/>
        </c:scaling>
        <c:axPos val="l"/>
        <c:majorGridlines/>
        <c:numFmt formatCode="General" sourceLinked="1"/>
        <c:tickLblPos val="nextTo"/>
        <c:crossAx val="90123264"/>
        <c:crosses val="autoZero"/>
        <c:crossBetween val="between"/>
      </c:valAx>
      <c:valAx>
        <c:axId val="90126976"/>
        <c:scaling>
          <c:orientation val="minMax"/>
        </c:scaling>
        <c:axPos val="r"/>
        <c:numFmt formatCode="General" sourceLinked="1"/>
        <c:tickLblPos val="nextTo"/>
        <c:crossAx val="90346624"/>
        <c:crosses val="max"/>
        <c:crossBetween val="between"/>
      </c:valAx>
      <c:catAx>
        <c:axId val="90346624"/>
        <c:scaling>
          <c:orientation val="minMax"/>
        </c:scaling>
        <c:delete val="1"/>
        <c:axPos val="b"/>
        <c:tickLblPos val="none"/>
        <c:crossAx val="90126976"/>
        <c:auto val="1"/>
        <c:lblAlgn val="ctr"/>
        <c:lblOffset val="100"/>
      </c:catAx>
    </c:plotArea>
    <c:legend>
      <c:legendPos val="r"/>
      <c:layout/>
    </c:legend>
    <c:plotVisOnly val="1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style val="4"/>
  <c:chart>
    <c:autoTitleDeleted val="1"/>
    <c:plotArea>
      <c:layout>
        <c:manualLayout>
          <c:layoutTarget val="inner"/>
          <c:xMode val="edge"/>
          <c:yMode val="edge"/>
          <c:x val="0.37144494733433941"/>
          <c:y val="8.7460725945842185E-2"/>
          <c:w val="0.49781652293463358"/>
          <c:h val="0.78050743657042865"/>
        </c:manualLayout>
      </c:layout>
      <c:barChart>
        <c:barDir val="bar"/>
        <c:grouping val="clustered"/>
        <c:ser>
          <c:idx val="0"/>
          <c:order val="0"/>
          <c:tx>
            <c:strRef>
              <c:f>Inputs!$H$13</c:f>
              <c:strCache>
                <c:ptCount val="1"/>
                <c:pt idx="0">
                  <c:v>Figure in #B</c:v>
                </c:pt>
              </c:strCache>
            </c:strRef>
          </c:tx>
          <c:cat>
            <c:strRef>
              <c:f>Inputs!$G$14:$G$19</c:f>
              <c:strCache>
                <c:ptCount val="6"/>
                <c:pt idx="0">
                  <c:v>North West</c:v>
                </c:pt>
                <c:pt idx="1">
                  <c:v>North East</c:v>
                </c:pt>
                <c:pt idx="2">
                  <c:v>North Central</c:v>
                </c:pt>
                <c:pt idx="3">
                  <c:v>South West</c:v>
                </c:pt>
                <c:pt idx="4">
                  <c:v>South East</c:v>
                </c:pt>
                <c:pt idx="5">
                  <c:v>South South</c:v>
                </c:pt>
              </c:strCache>
            </c:strRef>
          </c:cat>
          <c:val>
            <c:numRef>
              <c:f>Inputs!$H$14:$H$19</c:f>
              <c:numCache>
                <c:formatCode>General</c:formatCode>
                <c:ptCount val="6"/>
                <c:pt idx="0">
                  <c:v>65.3</c:v>
                </c:pt>
                <c:pt idx="1">
                  <c:v>32.4</c:v>
                </c:pt>
                <c:pt idx="2">
                  <c:v>45.2</c:v>
                </c:pt>
                <c:pt idx="3">
                  <c:v>55.1</c:v>
                </c:pt>
                <c:pt idx="4">
                  <c:v>28.5</c:v>
                </c:pt>
                <c:pt idx="5">
                  <c:v>28</c:v>
                </c:pt>
              </c:numCache>
            </c:numRef>
          </c:val>
        </c:ser>
        <c:axId val="61102720"/>
        <c:axId val="61804928"/>
      </c:barChart>
      <c:catAx>
        <c:axId val="61102720"/>
        <c:scaling>
          <c:orientation val="minMax"/>
        </c:scaling>
        <c:axPos val="l"/>
        <c:tickLblPos val="nextTo"/>
        <c:crossAx val="61804928"/>
        <c:crosses val="autoZero"/>
        <c:auto val="1"/>
        <c:lblAlgn val="ctr"/>
        <c:lblOffset val="100"/>
      </c:catAx>
      <c:valAx>
        <c:axId val="61804928"/>
        <c:scaling>
          <c:orientation val="minMax"/>
        </c:scaling>
        <c:axPos val="b"/>
        <c:majorGridlines/>
        <c:numFmt formatCode="General" sourceLinked="1"/>
        <c:tickLblPos val="nextTo"/>
        <c:crossAx val="6110272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35835068094446476"/>
          <c:y val="0"/>
          <c:w val="0.28329863811107048"/>
          <c:h val="0.16778195439137947"/>
        </c:manualLayout>
      </c:layout>
      <c:spPr>
        <a:noFill/>
        <a:ln>
          <a:noFill/>
        </a:ln>
      </c:spPr>
    </c:legend>
    <c:plotVisOnly val="1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autoTitleDeleted val="1"/>
    <c:plotArea>
      <c:layout>
        <c:manualLayout>
          <c:layoutTarget val="inner"/>
          <c:xMode val="edge"/>
          <c:yMode val="edge"/>
          <c:x val="0.3933708286464192"/>
          <c:y val="0.28302062242219722"/>
          <c:w val="0.32293701753815862"/>
          <c:h val="0.47001741118993789"/>
        </c:manualLayout>
      </c:layout>
      <c:radarChart>
        <c:radarStyle val="marker"/>
        <c:ser>
          <c:idx val="0"/>
          <c:order val="0"/>
          <c:tx>
            <c:strRef>
              <c:f>Inputs!$K$13</c:f>
              <c:strCache>
                <c:ptCount val="1"/>
                <c:pt idx="0">
                  <c:v>Score</c:v>
                </c:pt>
              </c:strCache>
            </c:strRef>
          </c:tx>
          <c:marker>
            <c:symbol val="square"/>
            <c:size val="5"/>
          </c:marker>
          <c:cat>
            <c:strRef>
              <c:f>Inputs!$J$14:$J$18</c:f>
              <c:strCache>
                <c:ptCount val="5"/>
                <c:pt idx="0">
                  <c:v>Delivery Speed</c:v>
                </c:pt>
                <c:pt idx="1">
                  <c:v>Product Quality</c:v>
                </c:pt>
                <c:pt idx="2">
                  <c:v>Packaging/Hygien</c:v>
                </c:pt>
                <c:pt idx="3">
                  <c:v>Customer Service</c:v>
                </c:pt>
                <c:pt idx="4">
                  <c:v>Product Availability</c:v>
                </c:pt>
              </c:strCache>
            </c:strRef>
          </c:cat>
          <c:val>
            <c:numRef>
              <c:f>Inputs!$K$14:$K$18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</c:ser>
        <c:axId val="47730048"/>
        <c:axId val="47745280"/>
      </c:radarChart>
      <c:catAx>
        <c:axId val="47730048"/>
        <c:scaling>
          <c:orientation val="minMax"/>
        </c:scaling>
        <c:axPos val="b"/>
        <c:majorGridlines/>
        <c:tickLblPos val="nextTo"/>
        <c:crossAx val="47745280"/>
        <c:crosses val="autoZero"/>
        <c:auto val="1"/>
        <c:lblAlgn val="ctr"/>
        <c:lblOffset val="100"/>
      </c:catAx>
      <c:valAx>
        <c:axId val="47745280"/>
        <c:scaling>
          <c:orientation val="minMax"/>
        </c:scaling>
        <c:delete val="1"/>
        <c:axPos val="l"/>
        <c:majorGridlines/>
        <c:numFmt formatCode="0%" sourceLinked="1"/>
        <c:majorTickMark val="cross"/>
        <c:tickLblPos val="none"/>
        <c:crossAx val="4773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523510971786834"/>
          <c:y val="0.4822913729670254"/>
          <c:w val="0.2405851619644723"/>
          <c:h val="8.7819000790840013E-2"/>
        </c:manualLayout>
      </c:layout>
    </c:legend>
    <c:plotVisOnly val="1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doughnutChart>
        <c:varyColors val="1"/>
        <c:ser>
          <c:idx val="0"/>
          <c:order val="0"/>
          <c:val>
            <c:numRef>
              <c:f>Inputs!$D$7:$D$8</c:f>
              <c:numCache>
                <c:formatCode>0%</c:formatCode>
                <c:ptCount val="2"/>
                <c:pt idx="0">
                  <c:v>0.85</c:v>
                </c:pt>
                <c:pt idx="1">
                  <c:v>0.15</c:v>
                </c:pt>
              </c:numCache>
            </c:numRef>
          </c:val>
        </c:ser>
        <c:firstSliceAng val="0"/>
        <c:holeSize val="50"/>
      </c:doughnutChart>
    </c:plotArea>
    <c:plotVisOnly val="1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doughnutChart>
        <c:varyColors val="1"/>
        <c:ser>
          <c:idx val="0"/>
          <c:order val="0"/>
          <c:val>
            <c:numRef>
              <c:f>Inputs!$G$7:$G$8</c:f>
              <c:numCache>
                <c:formatCode>0%</c:formatCode>
                <c:ptCount val="2"/>
                <c:pt idx="0">
                  <c:v>0.89</c:v>
                </c:pt>
                <c:pt idx="1">
                  <c:v>0.11</c:v>
                </c:pt>
              </c:numCache>
            </c:numRef>
          </c:val>
        </c:ser>
        <c:firstSliceAng val="0"/>
        <c:holeSize val="50"/>
      </c:doughnutChart>
    </c:plotArea>
    <c:plotVisOnly val="1"/>
  </c:chart>
  <c:spPr>
    <a:noFill/>
    <a:ln>
      <a:noFill/>
    </a:ln>
  </c:spPr>
  <c:txPr>
    <a:bodyPr/>
    <a:lstStyle/>
    <a:p>
      <a:pPr>
        <a:defRPr sz="900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doughnutChart>
        <c:varyColors val="1"/>
        <c:ser>
          <c:idx val="0"/>
          <c:order val="0"/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</c:ser>
        <c:firstSliceAng val="0"/>
        <c:holeSize val="50"/>
      </c:doughnutChart>
    </c:plotArea>
    <c:plotVisOnly val="1"/>
  </c:chart>
  <c:spPr>
    <a:noFill/>
    <a:ln>
      <a:noFill/>
    </a:ln>
  </c:spPr>
  <c:txPr>
    <a:bodyPr/>
    <a:lstStyle/>
    <a:p>
      <a:pPr>
        <a:defRPr sz="900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11.svg"/><Relationship Id="rId1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image" Target="../media/image5.png"/><Relationship Id="rId17" Type="http://schemas.openxmlformats.org/officeDocument/2006/relationships/chart" Target="../charts/chart4.xml"/><Relationship Id="rId2" Type="http://schemas.openxmlformats.org/officeDocument/2006/relationships/image" Target="../media/image1.png"/><Relationship Id="rId16" Type="http://schemas.openxmlformats.org/officeDocument/2006/relationships/chart" Target="../charts/chart3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hyperlink" Target="mailto:info@support.com" TargetMode="External"/><Relationship Id="rId5" Type="http://schemas.openxmlformats.org/officeDocument/2006/relationships/image" Target="../media/image2.png"/><Relationship Id="rId15" Type="http://schemas.openxmlformats.org/officeDocument/2006/relationships/chart" Target="../charts/chart2.xml"/><Relationship Id="rId10" Type="http://schemas.openxmlformats.org/officeDocument/2006/relationships/image" Target="../media/image4.jpeg"/><Relationship Id="rId19" Type="http://schemas.openxmlformats.org/officeDocument/2006/relationships/chart" Target="../charts/chart6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608754</xdr:colOff>
      <xdr:row>10</xdr:row>
      <xdr:rowOff>171814</xdr:rowOff>
    </xdr:to>
    <xdr:pic>
      <xdr:nvPicPr>
        <xdr:cNvPr id="2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  <a:ext uri="{96DAC541-7B7A-43D3-8B79-37D633B846F1}">
              <asvg:svgBlip xmlns:asvg="http://schemas.microsoft.com/office/drawing/2016/SVG/main" xmlns="" r:embed="rId3"/>
            </a:ext>
          </a:extLst>
        </a:blip>
        <a:srcRect/>
        <a:stretch/>
      </xdr:blipFill>
      <xdr:spPr>
        <a:xfrm>
          <a:off x="182879" y="1710205"/>
          <a:ext cx="463975" cy="46185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607176</xdr:colOff>
      <xdr:row>7</xdr:row>
      <xdr:rowOff>138753</xdr:rowOff>
    </xdr:to>
    <xdr:pic>
      <xdr:nvPicPr>
        <xdr:cNvPr id="3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xmlns="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185569" y="1075755"/>
          <a:ext cx="469232" cy="46317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605059</xdr:colOff>
      <xdr:row>14</xdr:row>
      <xdr:rowOff>24554</xdr:rowOff>
    </xdr:to>
    <xdr:pic>
      <xdr:nvPicPr>
        <xdr:cNvPr id="4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xmlns="" val="0"/>
            </a:ext>
            <a:ext uri="{96DAC541-7B7A-43D3-8B79-37D633B846F1}">
              <asvg:svgBlip xmlns:asvg="http://schemas.microsoft.com/office/drawing/2016/SVG/main" xmlns="" r:embed="rId9"/>
            </a:ext>
          </a:extLst>
        </a:blip>
        <a:stretch>
          <a:fillRect/>
        </a:stretch>
      </xdr:blipFill>
      <xdr:spPr>
        <a:xfrm>
          <a:off x="164402" y="2364104"/>
          <a:ext cx="469232" cy="460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106406</xdr:colOff>
      <xdr:row>1</xdr:row>
      <xdr:rowOff>9071</xdr:rowOff>
    </xdr:from>
    <xdr:to>
      <xdr:col>0</xdr:col>
      <xdr:colOff>613415</xdr:colOff>
      <xdr:row>4</xdr:row>
      <xdr:rowOff>39830</xdr:rowOff>
    </xdr:to>
    <xdr:pic>
      <xdr:nvPicPr>
        <xdr:cNvPr id="5" name="Graphic 14">
          <a:extLst>
            <a:ext uri="{FF2B5EF4-FFF2-40B4-BE49-F238E27FC236}">
              <a16:creationId xmlns:a16="http://schemas.microsoft.com/office/drawing/2014/main" xmlns="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6406" y="209096"/>
          <a:ext cx="630834" cy="63083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15" descr="Question Mark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xmlns="" val="0"/>
            </a:ext>
            <a:ext uri="{96DAC541-7B7A-43D3-8B79-37D633B846F1}">
              <asvg:svgBlip xmlns:asvg="http://schemas.microsoft.com/office/drawing/2016/SVG/main" xmlns="" r:embed="rId13"/>
            </a:ext>
          </a:extLst>
        </a:blip>
        <a:srcRect/>
        <a:stretch/>
      </xdr:blipFill>
      <xdr:spPr>
        <a:xfrm>
          <a:off x="205740" y="3030855"/>
          <a:ext cx="376104" cy="379914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0</xdr:row>
      <xdr:rowOff>85725</xdr:rowOff>
    </xdr:from>
    <xdr:to>
      <xdr:col>12</xdr:col>
      <xdr:colOff>571500</xdr:colOff>
      <xdr:row>4</xdr:row>
      <xdr:rowOff>123825</xdr:rowOff>
    </xdr:to>
    <xdr:sp macro="" textlink="">
      <xdr:nvSpPr>
        <xdr:cNvPr id="7" name="Rounded Rectangle 6"/>
        <xdr:cNvSpPr/>
      </xdr:nvSpPr>
      <xdr:spPr>
        <a:xfrm>
          <a:off x="819150" y="85725"/>
          <a:ext cx="7191375" cy="800100"/>
        </a:xfrm>
        <a:prstGeom prst="roundRect">
          <a:avLst>
            <a:gd name="adj" fmla="val 1190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GB" sz="1800">
              <a:solidFill>
                <a:srgbClr val="0070C0"/>
              </a:solidFill>
            </a:rPr>
            <a:t>Sales Dashboard</a:t>
          </a:r>
          <a:r>
            <a:rPr lang="en-GB" sz="1800" baseline="0">
              <a:solidFill>
                <a:srgbClr val="0070C0"/>
              </a:solidFill>
            </a:rPr>
            <a:t>  Dangote 2025</a:t>
          </a:r>
        </a:p>
        <a:p>
          <a:pPr algn="ctr"/>
          <a:r>
            <a:rPr lang="en-GB" sz="1050" baseline="0">
              <a:solidFill>
                <a:schemeClr val="bg2">
                  <a:lumMod val="50000"/>
                </a:schemeClr>
              </a:solidFill>
              <a:latin typeface="Comic Sans MS" pitchFamily="66" charset="0"/>
            </a:rPr>
            <a:t>figures in billions of NGN</a:t>
          </a:r>
          <a:endParaRPr lang="en-GB" sz="1050">
            <a:solidFill>
              <a:schemeClr val="bg2">
                <a:lumMod val="50000"/>
              </a:schemeClr>
            </a:solidFill>
            <a:latin typeface="Comic Sans MS" pitchFamily="66" charset="0"/>
          </a:endParaRPr>
        </a:p>
      </xdr:txBody>
    </xdr:sp>
    <xdr:clientData/>
  </xdr:twoCellAnchor>
  <xdr:twoCellAnchor>
    <xdr:from>
      <xdr:col>0</xdr:col>
      <xdr:colOff>76200</xdr:colOff>
      <xdr:row>4</xdr:row>
      <xdr:rowOff>142876</xdr:rowOff>
    </xdr:from>
    <xdr:to>
      <xdr:col>3</xdr:col>
      <xdr:colOff>152400</xdr:colOff>
      <xdr:row>8</xdr:row>
      <xdr:rowOff>123826</xdr:rowOff>
    </xdr:to>
    <xdr:sp macro="" textlink="">
      <xdr:nvSpPr>
        <xdr:cNvPr id="8" name="Rounded Rectangle 7"/>
        <xdr:cNvSpPr/>
      </xdr:nvSpPr>
      <xdr:spPr>
        <a:xfrm>
          <a:off x="76200" y="904876"/>
          <a:ext cx="2028825" cy="742950"/>
        </a:xfrm>
        <a:prstGeom prst="roundRect">
          <a:avLst>
            <a:gd name="adj" fmla="val 11749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GB" sz="1100">
              <a:solidFill>
                <a:srgbClr val="0070C0"/>
              </a:solidFill>
            </a:rPr>
            <a:t>Sales</a:t>
          </a:r>
        </a:p>
        <a:p>
          <a:pPr algn="ctr"/>
          <a:r>
            <a:rPr lang="en-GB" sz="1100" baseline="0">
              <a:solidFill>
                <a:srgbClr val="0070C0"/>
              </a:solidFill>
            </a:rPr>
            <a:t>                       </a:t>
          </a:r>
        </a:p>
        <a:p>
          <a:pPr algn="ctr"/>
          <a:r>
            <a:rPr lang="en-GB" sz="1100" baseline="0">
              <a:solidFill>
                <a:srgbClr val="0070C0"/>
              </a:solidFill>
            </a:rPr>
            <a:t>   </a:t>
          </a:r>
          <a:endParaRPr lang="en-GB" sz="1100">
            <a:solidFill>
              <a:srgbClr val="0070C0"/>
            </a:solidFill>
          </a:endParaRPr>
        </a:p>
      </xdr:txBody>
    </xdr:sp>
    <xdr:clientData/>
  </xdr:twoCellAnchor>
  <xdr:twoCellAnchor>
    <xdr:from>
      <xdr:col>3</xdr:col>
      <xdr:colOff>571501</xdr:colOff>
      <xdr:row>4</xdr:row>
      <xdr:rowOff>152400</xdr:rowOff>
    </xdr:from>
    <xdr:to>
      <xdr:col>7</xdr:col>
      <xdr:colOff>142875</xdr:colOff>
      <xdr:row>7</xdr:row>
      <xdr:rowOff>161926</xdr:rowOff>
    </xdr:to>
    <xdr:sp macro="" textlink="">
      <xdr:nvSpPr>
        <xdr:cNvPr id="9" name="Rounded Rectangle 8"/>
        <xdr:cNvSpPr/>
      </xdr:nvSpPr>
      <xdr:spPr>
        <a:xfrm>
          <a:off x="2524126" y="914400"/>
          <a:ext cx="2009774" cy="581026"/>
        </a:xfrm>
        <a:prstGeom prst="roundRect">
          <a:avLst>
            <a:gd name="adj" fmla="val 10110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GB" sz="1100">
              <a:solidFill>
                <a:srgbClr val="0070C0"/>
              </a:solidFill>
            </a:rPr>
            <a:t>Profit</a:t>
          </a:r>
        </a:p>
        <a:p>
          <a:pPr algn="ctr"/>
          <a:endParaRPr lang="en-GB" sz="1100">
            <a:solidFill>
              <a:srgbClr val="0070C0"/>
            </a:solidFill>
          </a:endParaRPr>
        </a:p>
      </xdr:txBody>
    </xdr:sp>
    <xdr:clientData/>
  </xdr:twoCellAnchor>
  <xdr:twoCellAnchor>
    <xdr:from>
      <xdr:col>7</xdr:col>
      <xdr:colOff>561975</xdr:colOff>
      <xdr:row>3</xdr:row>
      <xdr:rowOff>47626</xdr:rowOff>
    </xdr:from>
    <xdr:to>
      <xdr:col>11</xdr:col>
      <xdr:colOff>523875</xdr:colOff>
      <xdr:row>9</xdr:row>
      <xdr:rowOff>47626</xdr:rowOff>
    </xdr:to>
    <xdr:sp macro="" textlink="">
      <xdr:nvSpPr>
        <xdr:cNvPr id="10" name="Rounded Rectangle 9"/>
        <xdr:cNvSpPr/>
      </xdr:nvSpPr>
      <xdr:spPr>
        <a:xfrm>
          <a:off x="4953000" y="619126"/>
          <a:ext cx="2400300" cy="1143000"/>
        </a:xfrm>
        <a:prstGeom prst="roundRect">
          <a:avLst>
            <a:gd name="adj" fmla="val 9770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GB" sz="1100"/>
            <a:t>D</a:t>
          </a:r>
          <a:r>
            <a:rPr lang="en-GB" sz="1100">
              <a:solidFill>
                <a:srgbClr val="0070C0"/>
              </a:solidFill>
            </a:rPr>
            <a:t>#of</a:t>
          </a:r>
          <a:r>
            <a:rPr lang="en-GB" sz="1100" baseline="0">
              <a:solidFill>
                <a:srgbClr val="0070C0"/>
              </a:solidFill>
            </a:rPr>
            <a:t> Customers</a:t>
          </a:r>
        </a:p>
        <a:p>
          <a:pPr algn="ctr"/>
          <a:endParaRPr lang="en-GB" sz="1100"/>
        </a:p>
      </xdr:txBody>
    </xdr:sp>
    <xdr:clientData/>
  </xdr:twoCellAnchor>
  <xdr:twoCellAnchor>
    <xdr:from>
      <xdr:col>1</xdr:col>
      <xdr:colOff>85725</xdr:colOff>
      <xdr:row>12</xdr:row>
      <xdr:rowOff>9525</xdr:rowOff>
    </xdr:from>
    <xdr:to>
      <xdr:col>8</xdr:col>
      <xdr:colOff>142875</xdr:colOff>
      <xdr:row>20</xdr:row>
      <xdr:rowOff>180975</xdr:rowOff>
    </xdr:to>
    <xdr:sp macro="" textlink="">
      <xdr:nvSpPr>
        <xdr:cNvPr id="12" name="Rounded Rectangle 11"/>
        <xdr:cNvSpPr/>
      </xdr:nvSpPr>
      <xdr:spPr>
        <a:xfrm>
          <a:off x="819150" y="2295525"/>
          <a:ext cx="4324350" cy="1695450"/>
        </a:xfrm>
        <a:prstGeom prst="roundRect">
          <a:avLst>
            <a:gd name="adj" fmla="val 4307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GB" sz="1100">
              <a:solidFill>
                <a:srgbClr val="0070C0"/>
              </a:solidFill>
            </a:rPr>
            <a:t>2024-2025</a:t>
          </a:r>
          <a:r>
            <a:rPr lang="en-GB" sz="1100" baseline="0">
              <a:solidFill>
                <a:srgbClr val="0070C0"/>
              </a:solidFill>
            </a:rPr>
            <a:t> Sales Trend (in billion)</a:t>
          </a: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</xdr:txBody>
    </xdr:sp>
    <xdr:clientData/>
  </xdr:twoCellAnchor>
  <xdr:twoCellAnchor>
    <xdr:from>
      <xdr:col>8</xdr:col>
      <xdr:colOff>476250</xdr:colOff>
      <xdr:row>11</xdr:row>
      <xdr:rowOff>161925</xdr:rowOff>
    </xdr:from>
    <xdr:to>
      <xdr:col>12</xdr:col>
      <xdr:colOff>428625</xdr:colOff>
      <xdr:row>20</xdr:row>
      <xdr:rowOff>66675</xdr:rowOff>
    </xdr:to>
    <xdr:sp macro="" textlink="">
      <xdr:nvSpPr>
        <xdr:cNvPr id="13" name="Rounded Rectangle 12"/>
        <xdr:cNvSpPr/>
      </xdr:nvSpPr>
      <xdr:spPr>
        <a:xfrm>
          <a:off x="5476875" y="2257425"/>
          <a:ext cx="2390775" cy="1619250"/>
        </a:xfrm>
        <a:prstGeom prst="roundRect">
          <a:avLst>
            <a:gd name="adj" fmla="val 7978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GB" sz="1100">
              <a:solidFill>
                <a:srgbClr val="0070C0"/>
              </a:solidFill>
            </a:rPr>
            <a:t>Customer</a:t>
          </a:r>
          <a:r>
            <a:rPr lang="en-GB" sz="1100" baseline="0">
              <a:solidFill>
                <a:srgbClr val="0070C0"/>
              </a:solidFill>
            </a:rPr>
            <a:t> Satisfaction</a:t>
          </a: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 baseline="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</xdr:txBody>
    </xdr:sp>
    <xdr:clientData/>
  </xdr:twoCellAnchor>
  <xdr:twoCellAnchor>
    <xdr:from>
      <xdr:col>14</xdr:col>
      <xdr:colOff>323850</xdr:colOff>
      <xdr:row>0</xdr:row>
      <xdr:rowOff>66676</xdr:rowOff>
    </xdr:from>
    <xdr:to>
      <xdr:col>20</xdr:col>
      <xdr:colOff>19050</xdr:colOff>
      <xdr:row>24</xdr:row>
      <xdr:rowOff>57150</xdr:rowOff>
    </xdr:to>
    <xdr:sp macro="" textlink="">
      <xdr:nvSpPr>
        <xdr:cNvPr id="15" name="Rounded Rectangle 14"/>
        <xdr:cNvSpPr/>
      </xdr:nvSpPr>
      <xdr:spPr>
        <a:xfrm>
          <a:off x="8982075" y="66676"/>
          <a:ext cx="3352800" cy="4562474"/>
        </a:xfrm>
        <a:prstGeom prst="roundRect">
          <a:avLst>
            <a:gd name="adj" fmla="val 0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>
          <a:flatTx/>
        </a:bodyPr>
        <a:lstStyle/>
        <a:p>
          <a:pPr algn="ctr"/>
          <a:r>
            <a:rPr lang="en-GB" sz="1100">
              <a:solidFill>
                <a:srgbClr val="0070C0"/>
              </a:solidFill>
            </a:rPr>
            <a:t>Sales by Country  2025</a:t>
          </a: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  <a:p>
          <a:pPr algn="ctr"/>
          <a:endParaRPr lang="en-GB" sz="1100">
            <a:solidFill>
              <a:srgbClr val="0070C0"/>
            </a:solidFill>
          </a:endParaRPr>
        </a:p>
      </xdr:txBody>
    </xdr:sp>
    <xdr:clientData/>
  </xdr:twoCellAnchor>
  <xdr:twoCellAnchor>
    <xdr:from>
      <xdr:col>1</xdr:col>
      <xdr:colOff>133351</xdr:colOff>
      <xdr:row>14</xdr:row>
      <xdr:rowOff>95250</xdr:rowOff>
    </xdr:from>
    <xdr:to>
      <xdr:col>8</xdr:col>
      <xdr:colOff>142875</xdr:colOff>
      <xdr:row>24</xdr:row>
      <xdr:rowOff>85725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419100</xdr:colOff>
      <xdr:row>2</xdr:row>
      <xdr:rowOff>104775</xdr:rowOff>
    </xdr:from>
    <xdr:to>
      <xdr:col>19</xdr:col>
      <xdr:colOff>533399</xdr:colOff>
      <xdr:row>24</xdr:row>
      <xdr:rowOff>9525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171450</xdr:colOff>
      <xdr:row>13</xdr:row>
      <xdr:rowOff>85725</xdr:rowOff>
    </xdr:from>
    <xdr:to>
      <xdr:col>13</xdr:col>
      <xdr:colOff>161925</xdr:colOff>
      <xdr:row>24</xdr:row>
      <xdr:rowOff>171450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38100</xdr:colOff>
      <xdr:row>8</xdr:row>
      <xdr:rowOff>66675</xdr:rowOff>
    </xdr:from>
    <xdr:to>
      <xdr:col>2</xdr:col>
      <xdr:colOff>295275</xdr:colOff>
      <xdr:row>9</xdr:row>
      <xdr:rowOff>123825</xdr:rowOff>
    </xdr:to>
    <xdr:sp macro="" textlink="Inputs!D5">
      <xdr:nvSpPr>
        <xdr:cNvPr id="19" name="TextBox 18"/>
        <xdr:cNvSpPr txBox="1"/>
      </xdr:nvSpPr>
      <xdr:spPr>
        <a:xfrm>
          <a:off x="771525" y="1590675"/>
          <a:ext cx="8667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fld id="{2944E925-02B6-4E0A-BB12-07CEA178886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t>254.4B</a:t>
          </a:fld>
          <a:endParaRPr lang="en-GB" sz="1600"/>
        </a:p>
      </xdr:txBody>
    </xdr:sp>
    <xdr:clientData/>
  </xdr:twoCellAnchor>
  <xdr:twoCellAnchor>
    <xdr:from>
      <xdr:col>7</xdr:col>
      <xdr:colOff>400051</xdr:colOff>
      <xdr:row>8</xdr:row>
      <xdr:rowOff>76200</xdr:rowOff>
    </xdr:from>
    <xdr:to>
      <xdr:col>9</xdr:col>
      <xdr:colOff>285751</xdr:colOff>
      <xdr:row>9</xdr:row>
      <xdr:rowOff>180975</xdr:rowOff>
    </xdr:to>
    <xdr:sp macro="" textlink="">
      <xdr:nvSpPr>
        <xdr:cNvPr id="21" name="TextBox 20"/>
        <xdr:cNvSpPr txBox="1"/>
      </xdr:nvSpPr>
      <xdr:spPr>
        <a:xfrm>
          <a:off x="4791076" y="1600200"/>
          <a:ext cx="11049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 b="0" i="0" u="none" strike="noStrike">
              <a:solidFill>
                <a:srgbClr val="000000"/>
              </a:solidFill>
              <a:latin typeface="Calibri"/>
            </a:rPr>
            <a:t>1,740B</a:t>
          </a:r>
        </a:p>
      </xdr:txBody>
    </xdr:sp>
    <xdr:clientData/>
  </xdr:twoCellAnchor>
  <xdr:twoCellAnchor>
    <xdr:from>
      <xdr:col>4</xdr:col>
      <xdr:colOff>266701</xdr:colOff>
      <xdr:row>8</xdr:row>
      <xdr:rowOff>38100</xdr:rowOff>
    </xdr:from>
    <xdr:to>
      <xdr:col>6</xdr:col>
      <xdr:colOff>180977</xdr:colOff>
      <xdr:row>9</xdr:row>
      <xdr:rowOff>95250</xdr:rowOff>
    </xdr:to>
    <xdr:sp macro="" textlink="">
      <xdr:nvSpPr>
        <xdr:cNvPr id="22" name="TextBox 21"/>
        <xdr:cNvSpPr txBox="1"/>
      </xdr:nvSpPr>
      <xdr:spPr>
        <a:xfrm>
          <a:off x="2828926" y="1562100"/>
          <a:ext cx="11334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600" b="0" i="0" u="none" strike="noStrike">
              <a:solidFill>
                <a:srgbClr val="000000"/>
              </a:solidFill>
              <a:latin typeface="Calibri"/>
            </a:rPr>
            <a:t>42.8B</a:t>
          </a:r>
        </a:p>
      </xdr:txBody>
    </xdr:sp>
    <xdr:clientData/>
  </xdr:twoCellAnchor>
  <xdr:twoCellAnchor>
    <xdr:from>
      <xdr:col>1</xdr:col>
      <xdr:colOff>390526</xdr:colOff>
      <xdr:row>6</xdr:row>
      <xdr:rowOff>95250</xdr:rowOff>
    </xdr:from>
    <xdr:to>
      <xdr:col>4</xdr:col>
      <xdr:colOff>523876</xdr:colOff>
      <xdr:row>12</xdr:row>
      <xdr:rowOff>85725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485775</xdr:colOff>
      <xdr:row>6</xdr:row>
      <xdr:rowOff>85725</xdr:rowOff>
    </xdr:from>
    <xdr:to>
      <xdr:col>8</xdr:col>
      <xdr:colOff>180975</xdr:colOff>
      <xdr:row>12</xdr:row>
      <xdr:rowOff>38100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142875</xdr:colOff>
      <xdr:row>6</xdr:row>
      <xdr:rowOff>114300</xdr:rowOff>
    </xdr:from>
    <xdr:to>
      <xdr:col>11</xdr:col>
      <xdr:colOff>476251</xdr:colOff>
      <xdr:row>12</xdr:row>
      <xdr:rowOff>76199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0.38125</cdr:x>
      <cdr:y>0.5</cdr:y>
    </cdr:from>
    <cdr:to>
      <cdr:x>0.61875</cdr:x>
      <cdr:y>0.58333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7394" y="461962"/>
          <a:ext cx="359687" cy="769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0.38542</cdr:x>
      <cdr:y>0.37195</cdr:y>
    </cdr:from>
    <cdr:to>
      <cdr:x>0.62292</cdr:x>
      <cdr:y>0.55903</cdr:y>
    </cdr:to>
    <cdr:sp macro="" textlink="Inputs!$D$7">
      <cdr:nvSpPr>
        <cdr:cNvPr id="3" name="TextBox 2"/>
        <cdr:cNvSpPr txBox="1"/>
      </cdr:nvSpPr>
      <cdr:spPr>
        <a:xfrm xmlns:a="http://schemas.openxmlformats.org/drawingml/2006/main">
          <a:off x="583709" y="343655"/>
          <a:ext cx="359688" cy="1728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67C795BA-C4C0-4925-BBDD-BBC639ED48A4}" type="TxLink">
            <a:rPr lang="en-US" sz="1000" b="0" i="0" u="none" strike="noStrike">
              <a:solidFill>
                <a:srgbClr val="002060"/>
              </a:solidFill>
              <a:latin typeface="Calibri"/>
            </a:rPr>
            <a:pPr algn="ctr"/>
            <a:t>85%</a:t>
          </a:fld>
          <a:endParaRPr lang="en-GB" sz="1000">
            <a:solidFill>
              <a:srgbClr val="00206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0.42221</cdr:x>
      <cdr:y>0.37458</cdr:y>
    </cdr:from>
    <cdr:to>
      <cdr:x>0.61375</cdr:x>
      <cdr:y>0.58252</cdr:y>
    </cdr:to>
    <cdr:sp macro="" textlink="Inputs!$G$7">
      <cdr:nvSpPr>
        <cdr:cNvPr id="2" name="TextBox 1"/>
        <cdr:cNvSpPr txBox="1"/>
      </cdr:nvSpPr>
      <cdr:spPr>
        <a:xfrm xmlns:a="http://schemas.openxmlformats.org/drawingml/2006/main">
          <a:off x="977229" y="367492"/>
          <a:ext cx="443334" cy="2040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75FEAAA8-6663-4EA5-BB9E-661C4C033347}" type="TxLink">
            <a:rPr lang="en-US" sz="1000" b="0" i="0" u="none" strike="noStrike">
              <a:solidFill>
                <a:srgbClr val="002060"/>
              </a:solidFill>
              <a:latin typeface="Calibri"/>
            </a:rPr>
            <a:pPr algn="ctr"/>
            <a:t>89%</a:t>
          </a:fld>
          <a:endParaRPr lang="en-GB" sz="1000">
            <a:solidFill>
              <a:srgbClr val="002060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0.39167</cdr:x>
      <cdr:y>0.46875</cdr:y>
    </cdr:from>
    <cdr:to>
      <cdr:x>0.58125</cdr:x>
      <cdr:y>0.52431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90700" y="1285875"/>
          <a:ext cx="866775" cy="152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0.39375</cdr:x>
      <cdr:y>0.46528</cdr:y>
    </cdr:from>
    <cdr:to>
      <cdr:x>0.60833</cdr:x>
      <cdr:y>0.55208</cdr:y>
    </cdr:to>
    <cdr:sp macro="" textlink="Inputs!$K$6">
      <cdr:nvSpPr>
        <cdr:cNvPr id="3" name="TextBox 2"/>
        <cdr:cNvSpPr txBox="1"/>
      </cdr:nvSpPr>
      <cdr:spPr>
        <a:xfrm xmlns:a="http://schemas.openxmlformats.org/drawingml/2006/main">
          <a:off x="720090" y="607155"/>
          <a:ext cx="392423" cy="1132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A735F362-0888-4B63-AEB8-5E4BF66D72E6}" type="TxLink">
            <a:rPr lang="en-US" sz="1100" b="0" i="0" u="none" strike="noStrike">
              <a:solidFill>
                <a:srgbClr val="000000"/>
              </a:solidFill>
              <a:latin typeface="Calibri"/>
            </a:rPr>
            <a:pPr algn="ctr"/>
            <a:t> </a:t>
          </a:fld>
          <a:endParaRPr lang="en-GB" sz="1100"/>
        </a:p>
      </cdr:txBody>
    </cdr:sp>
  </cdr:relSizeAnchor>
  <cdr:relSizeAnchor xmlns:cdr="http://schemas.openxmlformats.org/drawingml/2006/chartDrawing">
    <cdr:from>
      <cdr:x>0.35484</cdr:x>
      <cdr:y>0.36607</cdr:y>
    </cdr:from>
    <cdr:to>
      <cdr:x>0.59681</cdr:x>
      <cdr:y>0.65094</cdr:y>
    </cdr:to>
    <cdr:sp macro="" textlink="Inputs!$J$7">
      <cdr:nvSpPr>
        <cdr:cNvPr id="4" name="TextBox 3"/>
        <cdr:cNvSpPr txBox="1"/>
      </cdr:nvSpPr>
      <cdr:spPr>
        <a:xfrm xmlns:a="http://schemas.openxmlformats.org/drawingml/2006/main">
          <a:off x="523876" y="369603"/>
          <a:ext cx="357240" cy="2876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fld id="{F81451E6-E1DB-4436-A4F0-DAFFAD286DA8}" type="TxLink">
            <a:rPr lang="en-US" sz="900" b="0" i="0" u="none" strike="noStrike">
              <a:solidFill>
                <a:srgbClr val="000000"/>
              </a:solidFill>
              <a:latin typeface="Calibri"/>
            </a:rPr>
            <a:pPr algn="r"/>
            <a:t>87%</a:t>
          </a:fld>
          <a:endParaRPr lang="en-GB" sz="9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.johnson@dangotesugar.tg" TargetMode="External"/><Relationship Id="rId2" Type="http://schemas.openxmlformats.org/officeDocument/2006/relationships/hyperlink" Target="mailto:k.mensah@dangotesugar.tg" TargetMode="External"/><Relationship Id="rId1" Type="http://schemas.openxmlformats.org/officeDocument/2006/relationships/hyperlink" Target="mailto:r.sinhvi@dangotesugar.com" TargetMode="External"/><Relationship Id="rId5" Type="http://schemas.openxmlformats.org/officeDocument/2006/relationships/hyperlink" Target="mailto:p.ndi@dangotesugar.cm" TargetMode="External"/><Relationship Id="rId4" Type="http://schemas.openxmlformats.org/officeDocument/2006/relationships/hyperlink" Target="mailto:a.bello@dangotesugar.b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>
      <selection activeCell="O18" sqref="O18"/>
    </sheetView>
  </sheetViews>
  <sheetFormatPr defaultRowHeight="15"/>
  <cols>
    <col min="1" max="1" width="11" style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L25"/>
  <sheetViews>
    <sheetView showGridLines="0" workbookViewId="0"/>
  </sheetViews>
  <sheetFormatPr defaultRowHeight="15"/>
  <cols>
    <col min="3" max="3" width="14.42578125" bestFit="1" customWidth="1"/>
    <col min="4" max="4" width="13.28515625" bestFit="1" customWidth="1"/>
    <col min="6" max="6" width="12.140625" bestFit="1" customWidth="1"/>
    <col min="7" max="7" width="14.85546875" bestFit="1" customWidth="1"/>
    <col min="8" max="8" width="11.28515625" bestFit="1" customWidth="1"/>
    <col min="9" max="9" width="11.7109375" bestFit="1" customWidth="1"/>
    <col min="10" max="10" width="21.7109375" bestFit="1" customWidth="1"/>
  </cols>
  <sheetData>
    <row r="2" spans="2:12" ht="15.75" thickBot="1">
      <c r="C2" s="2" t="s">
        <v>0</v>
      </c>
      <c r="D2" s="2"/>
      <c r="E2" s="2"/>
      <c r="F2" s="2"/>
      <c r="G2" s="2"/>
      <c r="H2" s="2"/>
      <c r="I2" s="2"/>
      <c r="J2" s="2"/>
    </row>
    <row r="4" spans="2:12">
      <c r="C4" s="12" t="s">
        <v>7</v>
      </c>
      <c r="D4" s="12" t="s">
        <v>10</v>
      </c>
      <c r="E4" s="3"/>
      <c r="F4" s="12" t="s">
        <v>5</v>
      </c>
      <c r="G4" s="12" t="s">
        <v>1</v>
      </c>
      <c r="I4" s="12" t="s">
        <v>13</v>
      </c>
      <c r="J4" s="12" t="s">
        <v>1</v>
      </c>
    </row>
    <row r="5" spans="2:12">
      <c r="C5" t="s">
        <v>2</v>
      </c>
      <c r="D5" s="5" t="s">
        <v>8</v>
      </c>
      <c r="F5" t="s">
        <v>2</v>
      </c>
      <c r="G5" s="5" t="s">
        <v>11</v>
      </c>
      <c r="I5" t="s">
        <v>2</v>
      </c>
      <c r="J5" s="3">
        <v>1740</v>
      </c>
    </row>
    <row r="6" spans="2:12">
      <c r="C6" t="s">
        <v>4</v>
      </c>
      <c r="D6" s="6" t="s">
        <v>9</v>
      </c>
      <c r="F6" t="s">
        <v>4</v>
      </c>
      <c r="G6" s="5" t="s">
        <v>12</v>
      </c>
      <c r="I6" t="s">
        <v>14</v>
      </c>
      <c r="J6" s="3">
        <v>2000</v>
      </c>
    </row>
    <row r="7" spans="2:12">
      <c r="C7" t="s">
        <v>3</v>
      </c>
      <c r="D7" s="4">
        <v>0.85</v>
      </c>
      <c r="F7" t="s">
        <v>6</v>
      </c>
      <c r="G7" s="4">
        <f>89%</f>
        <v>0.89</v>
      </c>
      <c r="I7" t="s">
        <v>3</v>
      </c>
      <c r="J7" s="4">
        <v>0.87</v>
      </c>
    </row>
    <row r="8" spans="2:12">
      <c r="C8" t="s">
        <v>16</v>
      </c>
      <c r="D8" s="4">
        <v>0.15</v>
      </c>
      <c r="F8" t="s">
        <v>15</v>
      </c>
      <c r="G8" s="4">
        <v>0.11</v>
      </c>
      <c r="I8" t="s">
        <v>15</v>
      </c>
      <c r="J8" s="4">
        <v>0.13</v>
      </c>
    </row>
    <row r="9" spans="2:12">
      <c r="B9" s="4"/>
    </row>
    <row r="11" spans="2:12" ht="15.75" thickBot="1">
      <c r="C11" s="7" t="s">
        <v>7</v>
      </c>
      <c r="D11" s="2"/>
      <c r="E11" s="2"/>
      <c r="F11" s="2"/>
      <c r="G11" s="2"/>
      <c r="H11" s="2"/>
      <c r="I11" s="9"/>
      <c r="J11" s="7" t="s">
        <v>38</v>
      </c>
      <c r="K11" s="7"/>
      <c r="L11" s="7"/>
    </row>
    <row r="13" spans="2:12">
      <c r="C13" s="12" t="s">
        <v>17</v>
      </c>
      <c r="D13" s="12">
        <v>2024</v>
      </c>
      <c r="E13" s="12">
        <v>2025</v>
      </c>
      <c r="G13" s="12" t="s">
        <v>30</v>
      </c>
      <c r="H13" s="12" t="s">
        <v>31</v>
      </c>
      <c r="I13" s="8"/>
      <c r="J13" s="12" t="s">
        <v>39</v>
      </c>
      <c r="K13" s="12" t="s">
        <v>40</v>
      </c>
    </row>
    <row r="14" spans="2:12">
      <c r="C14" t="s">
        <v>18</v>
      </c>
      <c r="D14">
        <v>18.2</v>
      </c>
      <c r="E14">
        <v>21.5</v>
      </c>
      <c r="G14" t="s">
        <v>32</v>
      </c>
      <c r="H14">
        <v>65.3</v>
      </c>
      <c r="J14" t="s">
        <v>41</v>
      </c>
      <c r="K14" s="4">
        <v>0.54</v>
      </c>
    </row>
    <row r="15" spans="2:12">
      <c r="C15" t="s">
        <v>19</v>
      </c>
      <c r="D15">
        <v>19.399999999999999</v>
      </c>
      <c r="E15">
        <v>21.7</v>
      </c>
      <c r="G15" t="s">
        <v>33</v>
      </c>
      <c r="H15">
        <v>32.4</v>
      </c>
      <c r="J15" t="s">
        <v>42</v>
      </c>
      <c r="K15" s="4">
        <v>0.86</v>
      </c>
    </row>
    <row r="16" spans="2:12">
      <c r="C16" t="s">
        <v>21</v>
      </c>
      <c r="D16">
        <v>17.8</v>
      </c>
      <c r="E16">
        <v>20.100000000000001</v>
      </c>
      <c r="G16" t="s">
        <v>34</v>
      </c>
      <c r="H16">
        <v>45.2</v>
      </c>
      <c r="J16" t="s">
        <v>43</v>
      </c>
      <c r="K16" s="4">
        <v>0.93</v>
      </c>
    </row>
    <row r="17" spans="3:11">
      <c r="C17" t="s">
        <v>20</v>
      </c>
      <c r="D17">
        <v>19.899999999999999</v>
      </c>
      <c r="E17">
        <v>20.6</v>
      </c>
      <c r="G17" t="s">
        <v>35</v>
      </c>
      <c r="H17">
        <v>55.1</v>
      </c>
      <c r="J17" t="s">
        <v>44</v>
      </c>
      <c r="K17" s="4">
        <v>0.53</v>
      </c>
    </row>
    <row r="18" spans="3:11">
      <c r="C18" t="s">
        <v>22</v>
      </c>
      <c r="D18">
        <v>20.6</v>
      </c>
      <c r="E18">
        <v>20.3</v>
      </c>
      <c r="G18" t="s">
        <v>36</v>
      </c>
      <c r="H18">
        <v>28.5</v>
      </c>
      <c r="J18" t="s">
        <v>45</v>
      </c>
      <c r="K18" s="4">
        <v>0.95</v>
      </c>
    </row>
    <row r="19" spans="3:11">
      <c r="C19" t="s">
        <v>23</v>
      </c>
      <c r="D19">
        <v>19.5</v>
      </c>
      <c r="E19">
        <v>20.3</v>
      </c>
      <c r="G19" t="s">
        <v>37</v>
      </c>
      <c r="H19">
        <v>28</v>
      </c>
    </row>
    <row r="20" spans="3:11">
      <c r="C20" t="s">
        <v>24</v>
      </c>
      <c r="D20">
        <v>19.2</v>
      </c>
      <c r="E20">
        <v>20.100000000000001</v>
      </c>
    </row>
    <row r="21" spans="3:11">
      <c r="C21" t="s">
        <v>25</v>
      </c>
      <c r="D21">
        <v>18.600000000000001</v>
      </c>
      <c r="E21">
        <v>20</v>
      </c>
    </row>
    <row r="22" spans="3:11">
      <c r="C22" t="s">
        <v>26</v>
      </c>
      <c r="D22">
        <v>19.399999999999999</v>
      </c>
      <c r="E22">
        <v>21</v>
      </c>
    </row>
    <row r="23" spans="3:11">
      <c r="C23" t="s">
        <v>27</v>
      </c>
      <c r="D23">
        <v>19.899999999999999</v>
      </c>
      <c r="E23">
        <v>21.6</v>
      </c>
    </row>
    <row r="24" spans="3:11">
      <c r="C24" t="s">
        <v>28</v>
      </c>
      <c r="D24">
        <v>20.5</v>
      </c>
      <c r="E24">
        <v>22.2</v>
      </c>
    </row>
    <row r="25" spans="3:11">
      <c r="C25" t="s">
        <v>29</v>
      </c>
      <c r="D25">
        <v>20.399999999999999</v>
      </c>
      <c r="E25">
        <v>22.5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E7"/>
  <sheetViews>
    <sheetView showGridLines="0" workbookViewId="0">
      <selection activeCell="D10" sqref="D10"/>
    </sheetView>
  </sheetViews>
  <sheetFormatPr defaultRowHeight="15"/>
  <cols>
    <col min="3" max="3" width="14.42578125" bestFit="1" customWidth="1"/>
    <col min="4" max="4" width="19.7109375" bestFit="1" customWidth="1"/>
    <col min="5" max="5" width="26.42578125" bestFit="1" customWidth="1"/>
  </cols>
  <sheetData>
    <row r="2" spans="3:5" ht="15.75" thickBot="1">
      <c r="C2" s="11" t="s">
        <v>46</v>
      </c>
      <c r="D2" s="11" t="s">
        <v>47</v>
      </c>
      <c r="E2" s="11" t="s">
        <v>48</v>
      </c>
    </row>
    <row r="3" spans="3:5">
      <c r="C3" t="s">
        <v>49</v>
      </c>
      <c r="D3" t="s">
        <v>54</v>
      </c>
      <c r="E3" s="10" t="s">
        <v>59</v>
      </c>
    </row>
    <row r="4" spans="3:5">
      <c r="C4" t="s">
        <v>50</v>
      </c>
      <c r="D4" t="s">
        <v>55</v>
      </c>
      <c r="E4" s="10" t="s">
        <v>60</v>
      </c>
    </row>
    <row r="5" spans="3:5">
      <c r="C5" t="s">
        <v>51</v>
      </c>
      <c r="D5" t="s">
        <v>56</v>
      </c>
      <c r="E5" s="10" t="s">
        <v>61</v>
      </c>
    </row>
    <row r="6" spans="3:5">
      <c r="C6" t="s">
        <v>52</v>
      </c>
      <c r="D6" t="s">
        <v>57</v>
      </c>
      <c r="E6" s="10" t="s">
        <v>62</v>
      </c>
    </row>
    <row r="7" spans="3:5">
      <c r="C7" t="s">
        <v>53</v>
      </c>
      <c r="D7" t="s">
        <v>58</v>
      </c>
      <c r="E7" s="10" t="s">
        <v>63</v>
      </c>
    </row>
  </sheetData>
  <hyperlinks>
    <hyperlink ref="E3" r:id="rId1"/>
    <hyperlink ref="E4" r:id="rId2"/>
    <hyperlink ref="E5" r:id="rId3"/>
    <hyperlink ref="E6" r:id="rId4"/>
    <hyperlink ref="E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2026-09-01T17:38:05Z</dcterms:created>
  <dcterms:modified xsi:type="dcterms:W3CDTF">2026-09-01T23:16:30Z</dcterms:modified>
</cp:coreProperties>
</file>